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evdo\Desktop\"/>
    </mc:Choice>
  </mc:AlternateContent>
  <bookViews>
    <workbookView xWindow="0" yWindow="0" windowWidth="16860" windowHeight="9012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7" i="1" l="1"/>
  <c r="D7" i="1"/>
  <c r="E7" i="1"/>
  <c r="F7" i="1"/>
  <c r="B11" i="1"/>
  <c r="B10" i="1"/>
  <c r="B9" i="1"/>
  <c r="E3" i="1"/>
  <c r="E4" i="1"/>
  <c r="E5" i="1"/>
  <c r="E6" i="1"/>
  <c r="F6" i="1" s="1"/>
  <c r="E2" i="1"/>
  <c r="L2" i="1"/>
  <c r="M2" i="1"/>
  <c r="K2" i="1"/>
  <c r="J3" i="1"/>
  <c r="J4" i="1"/>
  <c r="J5" i="1"/>
  <c r="J6" i="1"/>
  <c r="J2" i="1"/>
  <c r="D3" i="1"/>
  <c r="F3" i="1" s="1"/>
  <c r="D4" i="1"/>
  <c r="F4" i="1" s="1"/>
  <c r="D5" i="1"/>
  <c r="D6" i="1"/>
  <c r="F5" i="1"/>
  <c r="F2" i="1"/>
  <c r="D2" i="1"/>
</calcChain>
</file>

<file path=xl/sharedStrings.xml><?xml version="1.0" encoding="utf-8"?>
<sst xmlns="http://schemas.openxmlformats.org/spreadsheetml/2006/main" count="44" uniqueCount="19">
  <si>
    <t>ФИО сотрудника</t>
  </si>
  <si>
    <t>Оклад (руб.)</t>
  </si>
  <si>
    <t>Премия (%)</t>
  </si>
  <si>
    <t>Премия (руб.)</t>
  </si>
  <si>
    <t>НДФЛ (13%)</t>
  </si>
  <si>
    <t>К выдаче</t>
  </si>
  <si>
    <t>Иванов И.И.</t>
  </si>
  <si>
    <t>Петров П.П.</t>
  </si>
  <si>
    <t>Сидоров С.С.</t>
  </si>
  <si>
    <t>Кузнецова К.К.</t>
  </si>
  <si>
    <t>Смирнов С.С.</t>
  </si>
  <si>
    <t>№ п/п</t>
  </si>
  <si>
    <t>Ставка НДФЛ:</t>
  </si>
  <si>
    <t>Коэффициет:</t>
  </si>
  <si>
    <t>ИТОГО:</t>
  </si>
  <si>
    <t>Средняя зарплата:</t>
  </si>
  <si>
    <t>Максимум:</t>
  </si>
  <si>
    <t>Минимум:</t>
  </si>
  <si>
    <t>асмо :з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</si>
</sst>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-* #,##0.00\ &quot;₽&quot;_-;\-* #,##0.00\ &quot;₽&quot;_-;_-* &quot;-&quot;??\ &quot;₽&quot;_-;_-@_-"/>
    <numFmt numFmtId="164" formatCode="#,##0.00\ &quot;₽&quot;"/>
  </numFmts>
  <fonts count="10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9"/>
      <color rgb="FF0F1115"/>
      <name val="Times New Roman"/>
      <family val="1"/>
      <charset val="204"/>
    </font>
    <font>
      <sz val="8"/>
      <color rgb="FF0F1115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0"/>
      <color rgb="FF0F1115"/>
      <name val="Times New Roman"/>
      <family val="1"/>
      <charset val="204"/>
    </font>
    <font>
      <sz val="10"/>
      <color theme="1"/>
      <name val="Times New Roman"/>
      <family val="1"/>
      <charset val="204"/>
    </font>
    <font>
      <b/>
      <sz val="9"/>
      <color theme="0"/>
      <name val="Times New Roman"/>
      <family val="1"/>
      <charset val="204"/>
    </font>
    <font>
      <b/>
      <sz val="8"/>
      <color theme="0"/>
      <name val="Times New Roman"/>
      <family val="1"/>
      <charset val="204"/>
    </font>
    <font>
      <b/>
      <sz val="11"/>
      <color theme="0"/>
      <name val="Times New Roman"/>
      <family val="1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70C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0" tint="-0.14999847407452621"/>
      </bottom>
      <diagonal/>
    </border>
    <border>
      <left/>
      <right style="thin">
        <color theme="0" tint="-0.14999847407452621"/>
      </right>
      <top/>
      <bottom style="thin">
        <color theme="0" tint="-0.14999847407452621"/>
      </bottom>
      <diagonal/>
    </border>
    <border>
      <left/>
      <right/>
      <top style="thin">
        <color indexed="64"/>
      </top>
      <bottom style="thin">
        <color theme="0" tint="-0.14999847407452621"/>
      </bottom>
      <diagonal/>
    </border>
    <border>
      <left/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9">
    <xf numFmtId="0" fontId="0" fillId="0" borderId="0" xfId="0"/>
    <xf numFmtId="0" fontId="2" fillId="2" borderId="1" xfId="0" applyFont="1" applyFill="1" applyBorder="1" applyAlignment="1">
      <alignment horizontal="left" vertical="center" wrapText="1" indent="1"/>
    </xf>
    <xf numFmtId="0" fontId="4" fillId="0" borderId="1" xfId="0" applyFont="1" applyBorder="1"/>
    <xf numFmtId="0" fontId="4" fillId="3" borderId="1" xfId="0" applyFont="1" applyFill="1" applyBorder="1"/>
    <xf numFmtId="0" fontId="4" fillId="0" borderId="4" xfId="0" applyFont="1" applyBorder="1"/>
    <xf numFmtId="0" fontId="4" fillId="0" borderId="0" xfId="0" applyFont="1"/>
    <xf numFmtId="0" fontId="3" fillId="0" borderId="2" xfId="0" applyFont="1" applyBorder="1"/>
    <xf numFmtId="0" fontId="2" fillId="2" borderId="3" xfId="0" applyFont="1" applyFill="1" applyBorder="1" applyAlignment="1">
      <alignment horizontal="left" vertical="center" wrapText="1" indent="1"/>
    </xf>
    <xf numFmtId="0" fontId="2" fillId="2" borderId="5" xfId="0" applyFont="1" applyFill="1" applyBorder="1" applyAlignment="1">
      <alignment horizontal="left" vertical="center" wrapText="1" indent="1"/>
    </xf>
    <xf numFmtId="0" fontId="5" fillId="2" borderId="1" xfId="0" applyFont="1" applyFill="1" applyBorder="1" applyAlignment="1">
      <alignment horizontal="left" vertical="center" wrapText="1" indent="1"/>
    </xf>
    <xf numFmtId="3" fontId="5" fillId="0" borderId="1" xfId="0" applyNumberFormat="1" applyFont="1" applyBorder="1"/>
    <xf numFmtId="0" fontId="6" fillId="0" borderId="1" xfId="0" applyFont="1" applyBorder="1"/>
    <xf numFmtId="164" fontId="4" fillId="0" borderId="1" xfId="0" applyNumberFormat="1" applyFont="1" applyBorder="1"/>
    <xf numFmtId="164" fontId="5" fillId="0" borderId="1" xfId="0" applyNumberFormat="1" applyFont="1" applyBorder="1"/>
    <xf numFmtId="164" fontId="4" fillId="0" borderId="0" xfId="0" applyNumberFormat="1" applyFont="1"/>
    <xf numFmtId="164" fontId="0" fillId="0" borderId="0" xfId="0" applyNumberFormat="1"/>
    <xf numFmtId="0" fontId="4" fillId="0" borderId="1" xfId="0" applyNumberFormat="1" applyFont="1" applyBorder="1"/>
    <xf numFmtId="0" fontId="6" fillId="0" borderId="1" xfId="0" applyNumberFormat="1" applyFont="1" applyBorder="1"/>
    <xf numFmtId="0" fontId="4" fillId="0" borderId="0" xfId="0" applyNumberFormat="1" applyFont="1"/>
    <xf numFmtId="0" fontId="0" fillId="0" borderId="0" xfId="0" applyNumberFormat="1"/>
    <xf numFmtId="164" fontId="2" fillId="2" borderId="1" xfId="0" applyNumberFormat="1" applyFont="1" applyFill="1" applyBorder="1" applyAlignment="1">
      <alignment horizontal="left" vertical="center" wrapText="1" indent="1"/>
    </xf>
    <xf numFmtId="164" fontId="4" fillId="0" borderId="4" xfId="0" applyNumberFormat="1" applyFont="1" applyBorder="1"/>
    <xf numFmtId="164" fontId="4" fillId="0" borderId="2" xfId="0" applyNumberFormat="1" applyFont="1" applyBorder="1"/>
    <xf numFmtId="0" fontId="7" fillId="4" borderId="1" xfId="0" applyFont="1" applyFill="1" applyBorder="1" applyAlignment="1">
      <alignment horizontal="left" vertical="center" wrapText="1" indent="1"/>
    </xf>
    <xf numFmtId="164" fontId="7" fillId="4" borderId="1" xfId="1" applyNumberFormat="1" applyFont="1" applyFill="1" applyBorder="1" applyAlignment="1">
      <alignment horizontal="left" vertical="center"/>
    </xf>
    <xf numFmtId="0" fontId="7" fillId="4" borderId="1" xfId="0" applyFont="1" applyFill="1" applyBorder="1" applyAlignment="1">
      <alignment horizontal="left" vertical="center"/>
    </xf>
    <xf numFmtId="0" fontId="7" fillId="4" borderId="1" xfId="1" applyNumberFormat="1" applyFont="1" applyFill="1" applyBorder="1" applyAlignment="1">
      <alignment horizontal="left" vertical="center"/>
    </xf>
    <xf numFmtId="0" fontId="8" fillId="4" borderId="1" xfId="0" applyFont="1" applyFill="1" applyBorder="1" applyAlignment="1"/>
    <xf numFmtId="0" fontId="9" fillId="4" borderId="1" xfId="0" applyFont="1" applyFill="1" applyBorder="1" applyAlignment="1"/>
  </cellXfs>
  <cellStyles count="2">
    <cellStyle name="Денежный" xfId="1" builtinId="4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"/>
  <sheetViews>
    <sheetView tabSelected="1" zoomScale="85" zoomScaleNormal="85" workbookViewId="0">
      <selection activeCell="I1" sqref="B1:I1"/>
    </sheetView>
  </sheetViews>
  <sheetFormatPr defaultRowHeight="14.4" x14ac:dyDescent="0.3"/>
  <cols>
    <col min="1" max="1" width="15.109375" bestFit="1" customWidth="1"/>
    <col min="2" max="2" width="11.33203125" style="15" bestFit="1" customWidth="1"/>
    <col min="3" max="3" width="10.109375" bestFit="1" customWidth="1"/>
    <col min="4" max="4" width="11.44140625" style="15" bestFit="1" customWidth="1"/>
    <col min="5" max="6" width="11.33203125" style="15" bestFit="1" customWidth="1"/>
    <col min="7" max="7" width="7.33203125" style="19" bestFit="1" customWidth="1"/>
    <col min="8" max="8" width="11.44140625" customWidth="1"/>
    <col min="9" max="9" width="14" bestFit="1" customWidth="1"/>
    <col min="10" max="11" width="7.33203125" bestFit="1" customWidth="1"/>
    <col min="12" max="12" width="8.21875" bestFit="1" customWidth="1"/>
    <col min="13" max="13" width="10.33203125" bestFit="1" customWidth="1"/>
  </cols>
  <sheetData>
    <row r="1" spans="1:13" ht="24.6" customHeight="1" x14ac:dyDescent="0.3">
      <c r="A1" s="23" t="s">
        <v>0</v>
      </c>
      <c r="B1" s="24" t="s">
        <v>1</v>
      </c>
      <c r="C1" s="25" t="s">
        <v>2</v>
      </c>
      <c r="D1" s="24" t="s">
        <v>3</v>
      </c>
      <c r="E1" s="24" t="s">
        <v>4</v>
      </c>
      <c r="F1" s="24" t="s">
        <v>5</v>
      </c>
      <c r="G1" s="26" t="s">
        <v>11</v>
      </c>
      <c r="H1" s="27" t="s">
        <v>12</v>
      </c>
      <c r="I1" s="28" t="s">
        <v>13</v>
      </c>
      <c r="J1" s="2"/>
      <c r="K1" s="2"/>
      <c r="L1" s="2"/>
      <c r="M1" s="2"/>
    </row>
    <row r="2" spans="1:13" x14ac:dyDescent="0.3">
      <c r="A2" s="1" t="s">
        <v>6</v>
      </c>
      <c r="B2" s="20">
        <v>50000</v>
      </c>
      <c r="C2" s="1">
        <v>20</v>
      </c>
      <c r="D2" s="12">
        <f>B2*C2/100</f>
        <v>10000</v>
      </c>
      <c r="E2" s="12">
        <f>(B2+D2)*0.13</f>
        <v>7800</v>
      </c>
      <c r="F2" s="12">
        <f>B2+D2-E2</f>
        <v>52200</v>
      </c>
      <c r="G2" s="16">
        <v>1</v>
      </c>
      <c r="H2" s="3">
        <v>0.15</v>
      </c>
      <c r="I2" s="2">
        <v>1.5</v>
      </c>
      <c r="J2" s="2">
        <f>B2*$I$2</f>
        <v>75000</v>
      </c>
      <c r="K2" s="2">
        <f>B2*I$2</f>
        <v>75000</v>
      </c>
      <c r="L2" s="2">
        <f t="shared" ref="L2:M2" si="0">C2*J$2</f>
        <v>1500000</v>
      </c>
      <c r="M2" s="2">
        <f t="shared" si="0"/>
        <v>750000000</v>
      </c>
    </row>
    <row r="3" spans="1:13" x14ac:dyDescent="0.3">
      <c r="A3" s="1" t="s">
        <v>7</v>
      </c>
      <c r="B3" s="20">
        <v>45000</v>
      </c>
      <c r="C3" s="1">
        <v>15</v>
      </c>
      <c r="D3" s="12">
        <f t="shared" ref="D3:D6" si="1">B3*C3/100</f>
        <v>6750</v>
      </c>
      <c r="E3" s="12">
        <f t="shared" ref="E3:E6" si="2">(B3+D3)*0.13</f>
        <v>6727.5</v>
      </c>
      <c r="F3" s="12">
        <f t="shared" ref="F3:F6" si="3">B3+D3-E3</f>
        <v>45022.5</v>
      </c>
      <c r="G3" s="16">
        <v>2</v>
      </c>
      <c r="H3" s="2"/>
      <c r="I3" s="2"/>
      <c r="J3" s="2">
        <f t="shared" ref="J3:J6" si="4">B3*$I$2</f>
        <v>67500</v>
      </c>
      <c r="K3" s="2"/>
      <c r="L3" s="2"/>
      <c r="M3" s="2"/>
    </row>
    <row r="4" spans="1:13" x14ac:dyDescent="0.3">
      <c r="A4" s="1" t="s">
        <v>8</v>
      </c>
      <c r="B4" s="20">
        <v>62000</v>
      </c>
      <c r="C4" s="1">
        <v>25</v>
      </c>
      <c r="D4" s="12">
        <f t="shared" si="1"/>
        <v>15500</v>
      </c>
      <c r="E4" s="12">
        <f t="shared" si="2"/>
        <v>10075</v>
      </c>
      <c r="F4" s="12">
        <f t="shared" si="3"/>
        <v>67425</v>
      </c>
      <c r="G4" s="16">
        <v>3</v>
      </c>
      <c r="H4" s="2"/>
      <c r="I4" s="2"/>
      <c r="J4" s="2">
        <f t="shared" si="4"/>
        <v>93000</v>
      </c>
      <c r="K4" s="2"/>
      <c r="L4" s="2"/>
      <c r="M4" s="2"/>
    </row>
    <row r="5" spans="1:13" x14ac:dyDescent="0.3">
      <c r="A5" s="1" t="s">
        <v>9</v>
      </c>
      <c r="B5" s="20">
        <v>55000</v>
      </c>
      <c r="C5" s="1">
        <v>10</v>
      </c>
      <c r="D5" s="12">
        <f t="shared" si="1"/>
        <v>5500</v>
      </c>
      <c r="E5" s="12">
        <f t="shared" si="2"/>
        <v>7865</v>
      </c>
      <c r="F5" s="12">
        <f t="shared" si="3"/>
        <v>52635</v>
      </c>
      <c r="G5" s="16">
        <v>4</v>
      </c>
      <c r="H5" s="2"/>
      <c r="I5" s="2"/>
      <c r="J5" s="2">
        <f t="shared" si="4"/>
        <v>82500</v>
      </c>
      <c r="K5" s="2"/>
      <c r="L5" s="2"/>
      <c r="M5" s="2"/>
    </row>
    <row r="6" spans="1:13" x14ac:dyDescent="0.3">
      <c r="A6" s="1" t="s">
        <v>10</v>
      </c>
      <c r="B6" s="20">
        <v>40000</v>
      </c>
      <c r="C6" s="1">
        <v>30</v>
      </c>
      <c r="D6" s="12">
        <f t="shared" si="1"/>
        <v>12000</v>
      </c>
      <c r="E6" s="12">
        <f t="shared" si="2"/>
        <v>6760</v>
      </c>
      <c r="F6" s="12">
        <f t="shared" si="3"/>
        <v>45240</v>
      </c>
      <c r="G6" s="16">
        <v>5</v>
      </c>
      <c r="H6" s="2"/>
      <c r="I6" s="2"/>
      <c r="J6" s="2">
        <f t="shared" si="4"/>
        <v>60000</v>
      </c>
      <c r="K6" s="2"/>
      <c r="L6" s="2"/>
      <c r="M6" s="2"/>
    </row>
    <row r="7" spans="1:13" x14ac:dyDescent="0.3">
      <c r="A7" s="9" t="s">
        <v>14</v>
      </c>
      <c r="B7" s="13">
        <f>SUM(B2:B6)</f>
        <v>252000</v>
      </c>
      <c r="C7" s="10"/>
      <c r="D7" s="13">
        <f t="shared" ref="D7:F7" si="5">SUM(D2:D6)</f>
        <v>49750</v>
      </c>
      <c r="E7" s="13">
        <f t="shared" si="5"/>
        <v>39227.5</v>
      </c>
      <c r="F7" s="13">
        <f t="shared" si="5"/>
        <v>262522.5</v>
      </c>
      <c r="G7" s="17"/>
      <c r="H7" s="11"/>
      <c r="I7" s="11"/>
      <c r="J7" s="11"/>
      <c r="K7" s="11"/>
      <c r="L7" s="11"/>
      <c r="M7" s="11"/>
    </row>
    <row r="8" spans="1:13" x14ac:dyDescent="0.3">
      <c r="A8" s="4"/>
      <c r="B8" s="21"/>
      <c r="C8" s="5"/>
      <c r="D8" s="14"/>
      <c r="E8" s="14"/>
      <c r="F8" s="14"/>
      <c r="G8" s="18"/>
      <c r="H8" s="5"/>
      <c r="I8" s="5"/>
      <c r="J8" s="5"/>
      <c r="K8" s="5"/>
      <c r="L8" s="5"/>
      <c r="M8" s="5"/>
    </row>
    <row r="9" spans="1:13" x14ac:dyDescent="0.3">
      <c r="A9" s="6" t="s">
        <v>15</v>
      </c>
      <c r="B9" s="14">
        <f>AVERAGE(F2:F6)</f>
        <v>52504.5</v>
      </c>
      <c r="C9" s="5"/>
      <c r="D9" s="14"/>
      <c r="E9" s="14"/>
      <c r="F9" s="14"/>
      <c r="G9" s="18"/>
      <c r="H9" s="5"/>
      <c r="I9" s="5"/>
      <c r="J9" s="5"/>
      <c r="K9" s="5"/>
      <c r="L9" s="5"/>
      <c r="M9" s="5"/>
    </row>
    <row r="10" spans="1:13" x14ac:dyDescent="0.3">
      <c r="A10" s="7" t="s">
        <v>16</v>
      </c>
      <c r="B10" s="22">
        <f>MAX(F2:F6)</f>
        <v>67425</v>
      </c>
      <c r="C10" s="5"/>
      <c r="D10" s="14"/>
      <c r="E10" s="14"/>
      <c r="F10" s="14"/>
      <c r="G10" s="18"/>
      <c r="H10" s="5"/>
      <c r="I10" s="5"/>
      <c r="J10" s="5"/>
      <c r="K10" s="5"/>
      <c r="L10" s="5"/>
      <c r="M10" s="5"/>
    </row>
    <row r="11" spans="1:13" x14ac:dyDescent="0.3">
      <c r="A11" s="8" t="s">
        <v>17</v>
      </c>
      <c r="B11" s="14">
        <f>MIN(F2:F6)</f>
        <v>45022.5</v>
      </c>
      <c r="C11" s="5"/>
      <c r="D11" s="14"/>
      <c r="E11" s="14"/>
      <c r="F11" s="14"/>
      <c r="G11" s="18"/>
      <c r="H11" s="5"/>
      <c r="I11" s="5"/>
      <c r="J11" s="5"/>
      <c r="K11" s="5"/>
      <c r="L11" s="5"/>
      <c r="M11" s="5"/>
    </row>
    <row r="100" spans="1:26" x14ac:dyDescent="0.3">
      <c r="A100" t="s">
        <v>18</v>
      </c>
      <c r="B100" s="15" t="s">
        <v>18</v>
      </c>
      <c r="C100" t="s">
        <v>18</v>
      </c>
      <c r="D100" s="15" t="s">
        <v>18</v>
      </c>
      <c r="E100" s="15" t="s">
        <v>18</v>
      </c>
      <c r="F100" s="15" t="s">
        <v>18</v>
      </c>
      <c r="G100" s="19" t="s">
        <v>18</v>
      </c>
      <c r="H100" t="s">
        <v>18</v>
      </c>
      <c r="I100" t="s">
        <v>18</v>
      </c>
      <c r="J100" t="s">
        <v>18</v>
      </c>
      <c r="K100" t="s">
        <v>18</v>
      </c>
      <c r="L100" t="s">
        <v>18</v>
      </c>
      <c r="M100" t="s">
        <v>18</v>
      </c>
      <c r="N100" t="s">
        <v>18</v>
      </c>
      <c r="O100" t="s">
        <v>18</v>
      </c>
      <c r="P100" t="s">
        <v>18</v>
      </c>
      <c r="Q100" t="s">
        <v>18</v>
      </c>
      <c r="R100" t="s">
        <v>18</v>
      </c>
      <c r="S100" t="s">
        <v>18</v>
      </c>
      <c r="T100" t="s">
        <v>18</v>
      </c>
      <c r="U100" t="s">
        <v>18</v>
      </c>
      <c r="V100" t="s">
        <v>18</v>
      </c>
      <c r="W100" t="s">
        <v>18</v>
      </c>
      <c r="X100" t="s">
        <v>18</v>
      </c>
      <c r="Y100" t="s">
        <v>18</v>
      </c>
      <c r="Z100" t="s">
        <v>18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Студенты Левченко Д.О.</dc:creator>
  <cp:lastModifiedBy>Студенты Левченко Д.О.</cp:lastModifiedBy>
  <dcterms:created xsi:type="dcterms:W3CDTF">2026-09-16T08:27:09Z</dcterms:created>
  <dcterms:modified xsi:type="dcterms:W3CDTF">2026-09-16T09:35:44Z</dcterms:modified>
</cp:coreProperties>
</file>